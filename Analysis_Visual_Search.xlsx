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 in psychology\VISUAL_Search\"/>
    </mc:Choice>
  </mc:AlternateContent>
  <xr:revisionPtr revIDLastSave="0" documentId="13_ncr:1_{C503A944-8A45-4FE4-9685-B39023953B42}" xr6:coauthVersionLast="47" xr6:coauthVersionMax="47" xr10:uidLastSave="{00000000-0000-0000-0000-000000000000}"/>
  <bookViews>
    <workbookView xWindow="-120" yWindow="-120" windowWidth="20730" windowHeight="11040" xr2:uid="{7FE733E8-B773-4233-9386-649782960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5" i="1" s="1"/>
  <c r="B10" i="1"/>
  <c r="B9" i="1"/>
  <c r="C6" i="1"/>
  <c r="C5" i="1"/>
  <c r="C4" i="1"/>
  <c r="C3" i="1"/>
  <c r="C2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<sst xmlns="http://schemas.openxmlformats.org/spreadsheetml/2006/main" count="15" uniqueCount="10">
  <si>
    <t>P1</t>
  </si>
  <si>
    <t>P2</t>
  </si>
  <si>
    <t>P3</t>
  </si>
  <si>
    <t>P4</t>
  </si>
  <si>
    <t>P5</t>
  </si>
  <si>
    <t>mean 10(setsize)</t>
  </si>
  <si>
    <t>mean 5(set size)</t>
  </si>
  <si>
    <t>Participant</t>
  </si>
  <si>
    <t xml:space="preserve">Slope </t>
  </si>
  <si>
    <t>Mean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</si>
</sst>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RT  in set size of 5 vs 10 to Identify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mean 5(set size)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2005.1139999999998</c:v>
                </c:pt>
                <c:pt idx="1">
                  <c:v>1964.8209999999999</c:v>
                </c:pt>
                <c:pt idx="2">
                  <c:v>1827.047</c:v>
                </c:pt>
                <c:pt idx="3">
                  <c:v>1848.027</c:v>
                </c:pt>
                <c:pt idx="4">
                  <c:v>2010.3520000000001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6-4566-8F3C-44627C5B7D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mean 10(setsize)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2506.2489999999998</c:v>
                </c:pt>
                <c:pt idx="1">
                  <c:v>2382.9110000000001</c:v>
                </c:pt>
                <c:pt idx="2">
                  <c:v>2140.5430000000001</c:v>
                </c:pt>
                <c:pt idx="3">
                  <c:v>2273.5919999999996</c:v>
                </c:pt>
                <c:pt idx="4">
                  <c:v>2379.395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6-4566-8F3C-44627C5B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0436256"/>
        <c:axId val="1170430016"/>
      </c:lineChart>
      <c:catAx>
        <c:axId val="117043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430016"/>
        <c:crosses val="autoZero"/>
        <c:auto val="1"/>
        <c:lblAlgn val="ctr"/>
        <c:lblOffset val="100"/>
        <c:noMultiLvlLbl val="0"/>
      </c:catAx>
      <c:valAx>
        <c:axId val="11704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RT (in ms)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43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3</xdr:row>
      <xdr:rowOff>138112</xdr:rowOff>
    </xdr:from>
    <xdr:to>
      <xdr:col>13</xdr:col>
      <xdr:colOff>600075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E1FC9-2C18-F0D5-F049-D3D517958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8FAD-5F21-4251-85E9-D8B1B1F9CE9F}">
  <dimension ref="A1:C15"/>
  <sheetViews>
    <sheetView tabSelected="1" workbookViewId="0">
      <selection activeCell="A8" sqref="A8:B15"/>
    </sheetView>
  </sheetViews>
  <sheetFormatPr defaultRowHeight="15" x14ac:dyDescent="0.25"/>
  <cols>
    <col min="1" max="1" width="10.85546875" customWidth="1"/>
    <col min="2" max="2" width="11.85546875" customWidth="1"/>
  </cols>
  <sheetData>
    <row r="1" spans="1:3" x14ac:dyDescent="0.25">
      <c r="B1" t="s">
        <v>6</v>
      </c>
      <c r="C1" t="s">
        <v>5</v>
      </c>
    </row>
    <row r="2" spans="1:3" x14ac:dyDescent="0.25">
      <c r="A2" t="s">
        <v>0</v>
      </c>
      <c r="B2">
        <f>2.005114*1000</f>
        <v>2005.1139999999998</v>
      </c>
      <c r="C2">
        <f>2.506249*1000</f>
        <v>2506.2489999999998</v>
      </c>
    </row>
    <row r="3" spans="1:3" x14ac:dyDescent="0.25">
      <c r="A3" t="s">
        <v>1</v>
      </c>
      <c r="B3">
        <f>1.964821*1000</f>
        <v>1964.8209999999999</v>
      </c>
      <c r="C3">
        <f>2.382911*1000</f>
        <v>2382.9110000000001</v>
      </c>
    </row>
    <row r="4" spans="1:3" x14ac:dyDescent="0.25">
      <c r="A4" t="s">
        <v>2</v>
      </c>
      <c r="B4">
        <f>1.827047*1000</f>
        <v>1827.047</v>
      </c>
      <c r="C4">
        <f>2.140543*1000</f>
        <v>2140.5430000000001</v>
      </c>
    </row>
    <row r="5" spans="1:3" x14ac:dyDescent="0.25">
      <c r="A5" t="s">
        <v>3</v>
      </c>
      <c r="B5">
        <f>1.848027*1000</f>
        <v>1848.027</v>
      </c>
      <c r="C5">
        <f>2.273592*1000</f>
        <v>2273.5919999999996</v>
      </c>
    </row>
    <row r="6" spans="1:3" x14ac:dyDescent="0.25">
      <c r="A6" t="s">
        <v>4</v>
      </c>
      <c r="B6">
        <f>2.010352*1000</f>
        <v>2010.3520000000001</v>
      </c>
      <c r="C6">
        <f>2.379395*1000</f>
        <v>2379.395</v>
      </c>
    </row>
    <row r="8" spans="1:3" x14ac:dyDescent="0.25">
      <c r="A8" s="1" t="s">
        <v>7</v>
      </c>
      <c r="B8" s="1" t="s">
        <v>8</v>
      </c>
    </row>
    <row r="9" spans="1:3" x14ac:dyDescent="0.25">
      <c r="A9" s="2" t="s">
        <v>0</v>
      </c>
      <c r="B9" s="2">
        <f>0.100227*1000</f>
        <v>100.22699999999999</v>
      </c>
    </row>
    <row r="10" spans="1:3" x14ac:dyDescent="0.25">
      <c r="A10" s="2" t="s">
        <v>1</v>
      </c>
      <c r="B10" s="2">
        <f>0.083618*1000</f>
        <v>83.617999999999995</v>
      </c>
    </row>
    <row r="11" spans="1:3" x14ac:dyDescent="0.25">
      <c r="A11" s="2" t="s">
        <v>2</v>
      </c>
      <c r="B11" s="2">
        <f>0.062699*1000</f>
        <v>62.699000000000005</v>
      </c>
    </row>
    <row r="12" spans="1:3" x14ac:dyDescent="0.25">
      <c r="A12" s="2" t="s">
        <v>3</v>
      </c>
      <c r="B12" s="2">
        <f>0.085113*1000</f>
        <v>85.113</v>
      </c>
    </row>
    <row r="13" spans="1:3" x14ac:dyDescent="0.25">
      <c r="A13" s="2" t="s">
        <v>4</v>
      </c>
      <c r="B13" s="2">
        <f>0.073809*1000</f>
        <v>73.808999999999997</v>
      </c>
    </row>
    <row r="15" spans="1:3" ht="30" x14ac:dyDescent="0.25">
      <c r="A15" s="2" t="s">
        <v>9</v>
      </c>
      <c r="B15">
        <f>AVERAGE(B9:B13)</f>
        <v>81.093199999999996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2025-09-29T09:22:59Z</dcterms:created>
  <dcterms:modified xsi:type="dcterms:W3CDTF">2025-09-29T10:03:33Z</dcterms:modified>
</cp:coreProperties>
</file>