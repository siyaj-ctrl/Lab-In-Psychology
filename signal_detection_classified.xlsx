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 in psychology\Signal_Detection\data\"/>
    </mc:Choice>
  </mc:AlternateContent>
  <xr:revisionPtr revIDLastSave="0" documentId="13_ncr:1_{F5145FEC-565C-4843-A606-25DE937879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1" l="1"/>
  <c r="K85" i="1"/>
  <c r="K83" i="1"/>
  <c r="K82" i="1"/>
  <c r="K80" i="1"/>
  <c r="K79" i="1"/>
  <c r="J80" i="1"/>
  <c r="J79" i="1"/>
  <c r="E102" i="1"/>
  <c r="F102" i="1"/>
  <c r="G102" i="1"/>
  <c r="D102" i="1"/>
</calcChain>
</file>

<file path=xl/sharedStrings.xml><?xml version="1.0" encoding="utf-8"?>
<sst xmlns="http://schemas.openxmlformats.org/spreadsheetml/2006/main" count="119" uniqueCount="20">
  <si>
    <t>tilt</t>
  </si>
  <si>
    <t>stimulus</t>
  </si>
  <si>
    <t>response</t>
  </si>
  <si>
    <t>hit</t>
  </si>
  <si>
    <t>miss</t>
  </si>
  <si>
    <t>fa</t>
  </si>
  <si>
    <t>cr</t>
  </si>
  <si>
    <t>up</t>
  </si>
  <si>
    <t>down</t>
  </si>
  <si>
    <t>sig present</t>
  </si>
  <si>
    <t>sig absent</t>
  </si>
  <si>
    <t>response no</t>
  </si>
  <si>
    <t>response yes</t>
  </si>
  <si>
    <t>p(hit)</t>
  </si>
  <si>
    <t>p(FA)</t>
  </si>
  <si>
    <t>D'</t>
  </si>
  <si>
    <t>c</t>
  </si>
  <si>
    <t>FA</t>
  </si>
  <si>
    <t>Miss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</si>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</sst>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Sheet1!$M$78:$M$81</c:f>
              <c:strCache>
                <c:ptCount val="4"/>
                <c:pt idx="0">
                  <c:v>hit</c:v>
                </c:pt>
                <c:pt idx="1">
                  <c:v>FA</c:v>
                </c:pt>
                <c:pt idx="2">
                  <c:v>Miss</c:v>
                </c:pt>
                <c:pt idx="3">
                  <c:v>CR</c:v>
                </c:pt>
              </c:strCache>
            </c:strRef>
          </c:cat>
          <c:val>
            <c:numRef>
              <c:f>Sheet1!$N$78:$N$81</c:f>
              <c:numCache>
                <c:formatCode>General</c:formatCode>
                <c:ptCount val="4"/>
                <c:pt idx="0">
                  <c:v>25</c:v>
                </c:pt>
                <c:pt idx="1">
                  <c:v>29</c:v>
                </c:pt>
                <c:pt idx="2">
                  <c:v>17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5-4C64-8A0B-548547A8BA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658816</xdr:colOff>
      <xdr:row>61</xdr:row>
      <xdr:rowOff>62530</xdr:rowOff>
    </xdr:from>
    <xdr:to>
      <xdr:col>15</xdr:col>
      <xdr:colOff>301081</xdr:colOff>
      <xdr:row>75</xdr:row>
      <xdr:rowOff>102690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77784-3B98-8EBE-6C9F-6496F24A1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67" workbookViewId="0">
      <selection activeCell="Q101" sqref="Q101"/>
    </sheetView>
  </sheetViews>
  <sheetFormatPr defaultRowHeight="15" x14ac:dyDescent="0.25"/>
  <cols>
    <col min="9" max="9" width="15.28515625" customWidth="1"/>
    <col min="10" max="10" width="11.5703125" customWidth="1"/>
    <col min="11" max="11" width="10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>
        <v>1</v>
      </c>
      <c r="D2">
        <v>0</v>
      </c>
      <c r="E2">
        <v>0</v>
      </c>
      <c r="F2">
        <v>1</v>
      </c>
      <c r="G2">
        <v>0</v>
      </c>
    </row>
    <row r="3" spans="1:7" x14ac:dyDescent="0.25">
      <c r="A3">
        <v>0</v>
      </c>
      <c r="B3" t="s">
        <v>7</v>
      </c>
      <c r="C3">
        <v>1</v>
      </c>
      <c r="D3">
        <v>0</v>
      </c>
      <c r="E3">
        <v>0</v>
      </c>
      <c r="F3">
        <v>1</v>
      </c>
      <c r="G3">
        <v>0</v>
      </c>
    </row>
    <row r="4" spans="1:7" x14ac:dyDescent="0.25">
      <c r="A4">
        <v>2</v>
      </c>
      <c r="B4" t="s">
        <v>7</v>
      </c>
      <c r="C4">
        <v>0</v>
      </c>
      <c r="D4">
        <v>0</v>
      </c>
      <c r="E4">
        <v>1</v>
      </c>
      <c r="F4">
        <v>0</v>
      </c>
      <c r="G4">
        <v>0</v>
      </c>
    </row>
    <row r="5" spans="1:7" x14ac:dyDescent="0.25">
      <c r="A5">
        <v>-4</v>
      </c>
      <c r="B5" t="s">
        <v>8</v>
      </c>
      <c r="C5">
        <v>1</v>
      </c>
      <c r="D5">
        <v>1</v>
      </c>
      <c r="E5">
        <v>0</v>
      </c>
      <c r="F5">
        <v>0</v>
      </c>
      <c r="G5">
        <v>0</v>
      </c>
    </row>
    <row r="6" spans="1:7" x14ac:dyDescent="0.25">
      <c r="A6">
        <v>0</v>
      </c>
      <c r="B6" t="s">
        <v>8</v>
      </c>
      <c r="C6">
        <v>0</v>
      </c>
      <c r="D6">
        <v>0</v>
      </c>
      <c r="E6">
        <v>0</v>
      </c>
      <c r="F6">
        <v>0</v>
      </c>
      <c r="G6">
        <v>1</v>
      </c>
    </row>
    <row r="7" spans="1:7" x14ac:dyDescent="0.25">
      <c r="A7">
        <v>-2</v>
      </c>
      <c r="B7" t="s">
        <v>8</v>
      </c>
      <c r="C7">
        <v>1</v>
      </c>
      <c r="D7">
        <v>1</v>
      </c>
      <c r="E7">
        <v>0</v>
      </c>
      <c r="F7">
        <v>0</v>
      </c>
      <c r="G7">
        <v>0</v>
      </c>
    </row>
    <row r="8" spans="1:7" x14ac:dyDescent="0.25">
      <c r="A8">
        <v>3</v>
      </c>
      <c r="B8" t="s">
        <v>8</v>
      </c>
      <c r="C8">
        <v>1</v>
      </c>
      <c r="D8">
        <v>1</v>
      </c>
      <c r="E8">
        <v>0</v>
      </c>
      <c r="F8">
        <v>0</v>
      </c>
      <c r="G8">
        <v>0</v>
      </c>
    </row>
    <row r="9" spans="1:7" x14ac:dyDescent="0.25">
      <c r="A9">
        <v>0</v>
      </c>
      <c r="B9" t="s">
        <v>8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25">
      <c r="A10">
        <v>3</v>
      </c>
      <c r="B10" t="s">
        <v>8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 x14ac:dyDescent="0.25">
      <c r="A11">
        <v>-4</v>
      </c>
      <c r="B11" t="s">
        <v>8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 x14ac:dyDescent="0.25">
      <c r="A12">
        <v>-4</v>
      </c>
      <c r="B12" t="s">
        <v>8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 x14ac:dyDescent="0.25">
      <c r="A13">
        <v>-5</v>
      </c>
      <c r="B13" t="s">
        <v>8</v>
      </c>
      <c r="C13">
        <v>1</v>
      </c>
      <c r="D13">
        <v>1</v>
      </c>
      <c r="E13">
        <v>0</v>
      </c>
      <c r="F13">
        <v>0</v>
      </c>
      <c r="G13">
        <v>0</v>
      </c>
    </row>
    <row r="14" spans="1:7" x14ac:dyDescent="0.25">
      <c r="A14">
        <v>0</v>
      </c>
      <c r="B14" t="s">
        <v>8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5">
      <c r="A15">
        <v>2</v>
      </c>
      <c r="B15" t="s">
        <v>7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1:7" x14ac:dyDescent="0.25">
      <c r="A16">
        <v>0</v>
      </c>
      <c r="B16" t="s">
        <v>8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5">
      <c r="A17">
        <v>1</v>
      </c>
      <c r="B17" t="s">
        <v>7</v>
      </c>
      <c r="C17">
        <v>0</v>
      </c>
      <c r="D17">
        <v>0</v>
      </c>
      <c r="E17">
        <v>1</v>
      </c>
      <c r="F17">
        <v>0</v>
      </c>
      <c r="G17">
        <v>0</v>
      </c>
    </row>
    <row r="18" spans="1:7" x14ac:dyDescent="0.25">
      <c r="A18">
        <v>-3</v>
      </c>
      <c r="B18" t="s">
        <v>8</v>
      </c>
      <c r="C18">
        <v>1</v>
      </c>
      <c r="D18">
        <v>1</v>
      </c>
      <c r="E18">
        <v>0</v>
      </c>
      <c r="F18">
        <v>0</v>
      </c>
      <c r="G18">
        <v>0</v>
      </c>
    </row>
    <row r="19" spans="1:7" x14ac:dyDescent="0.25">
      <c r="A19">
        <v>0</v>
      </c>
      <c r="B19" t="s">
        <v>7</v>
      </c>
      <c r="C19">
        <v>1</v>
      </c>
      <c r="D19">
        <v>0</v>
      </c>
      <c r="E19">
        <v>0</v>
      </c>
      <c r="F19">
        <v>1</v>
      </c>
      <c r="G19">
        <v>0</v>
      </c>
    </row>
    <row r="20" spans="1:7" x14ac:dyDescent="0.25">
      <c r="A20">
        <v>-4</v>
      </c>
      <c r="B20" t="s">
        <v>8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 x14ac:dyDescent="0.25">
      <c r="A21">
        <v>0</v>
      </c>
      <c r="B21" t="s">
        <v>7</v>
      </c>
      <c r="C21">
        <v>1</v>
      </c>
      <c r="D21">
        <v>0</v>
      </c>
      <c r="E21">
        <v>0</v>
      </c>
      <c r="F21">
        <v>1</v>
      </c>
      <c r="G21">
        <v>0</v>
      </c>
    </row>
    <row r="22" spans="1:7" x14ac:dyDescent="0.25">
      <c r="A22">
        <v>-4</v>
      </c>
      <c r="B22" t="s">
        <v>7</v>
      </c>
      <c r="C22">
        <v>0</v>
      </c>
      <c r="D22">
        <v>0</v>
      </c>
      <c r="E22">
        <v>1</v>
      </c>
      <c r="F22">
        <v>0</v>
      </c>
      <c r="G22">
        <v>0</v>
      </c>
    </row>
    <row r="23" spans="1:7" x14ac:dyDescent="0.25">
      <c r="A23">
        <v>0</v>
      </c>
      <c r="B23" t="s">
        <v>7</v>
      </c>
      <c r="C23">
        <v>1</v>
      </c>
      <c r="D23">
        <v>0</v>
      </c>
      <c r="E23">
        <v>0</v>
      </c>
      <c r="F23">
        <v>1</v>
      </c>
      <c r="G23">
        <v>0</v>
      </c>
    </row>
    <row r="24" spans="1:7" x14ac:dyDescent="0.25">
      <c r="A24">
        <v>-4</v>
      </c>
      <c r="B24" t="s">
        <v>8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 x14ac:dyDescent="0.25">
      <c r="A25">
        <v>0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 x14ac:dyDescent="0.25">
      <c r="A26">
        <v>-3</v>
      </c>
      <c r="B26" t="s">
        <v>7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5">
      <c r="A27">
        <v>-4</v>
      </c>
      <c r="B27" t="s">
        <v>8</v>
      </c>
      <c r="C27">
        <v>1</v>
      </c>
      <c r="D27">
        <v>1</v>
      </c>
      <c r="E27">
        <v>0</v>
      </c>
      <c r="F27">
        <v>0</v>
      </c>
      <c r="G27">
        <v>0</v>
      </c>
    </row>
    <row r="28" spans="1:7" x14ac:dyDescent="0.25">
      <c r="A28">
        <v>0</v>
      </c>
      <c r="B28" t="s">
        <v>8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>
        <v>2</v>
      </c>
      <c r="B29" t="s">
        <v>7</v>
      </c>
      <c r="C29">
        <v>0</v>
      </c>
      <c r="D29">
        <v>0</v>
      </c>
      <c r="E29">
        <v>1</v>
      </c>
      <c r="F29">
        <v>0</v>
      </c>
      <c r="G29">
        <v>0</v>
      </c>
    </row>
    <row r="30" spans="1:7" x14ac:dyDescent="0.25">
      <c r="A30">
        <v>1</v>
      </c>
      <c r="B30" t="s">
        <v>8</v>
      </c>
      <c r="C30">
        <v>1</v>
      </c>
      <c r="D30">
        <v>1</v>
      </c>
      <c r="E30">
        <v>0</v>
      </c>
      <c r="F30">
        <v>0</v>
      </c>
      <c r="G30">
        <v>0</v>
      </c>
    </row>
    <row r="31" spans="1:7" x14ac:dyDescent="0.25">
      <c r="A31">
        <v>-2</v>
      </c>
      <c r="B31" t="s">
        <v>7</v>
      </c>
      <c r="C31">
        <v>0</v>
      </c>
      <c r="D31">
        <v>0</v>
      </c>
      <c r="E31">
        <v>1</v>
      </c>
      <c r="F31">
        <v>0</v>
      </c>
      <c r="G31">
        <v>0</v>
      </c>
    </row>
    <row r="32" spans="1:7" x14ac:dyDescent="0.25">
      <c r="A32">
        <v>-4</v>
      </c>
      <c r="B32" t="s">
        <v>7</v>
      </c>
      <c r="C32">
        <v>0</v>
      </c>
      <c r="D32">
        <v>0</v>
      </c>
      <c r="E32">
        <v>1</v>
      </c>
      <c r="F32">
        <v>0</v>
      </c>
      <c r="G32">
        <v>0</v>
      </c>
    </row>
    <row r="33" spans="1:7" x14ac:dyDescent="0.25">
      <c r="A33">
        <v>0</v>
      </c>
      <c r="B33" t="s">
        <v>8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25">
      <c r="A34">
        <v>0</v>
      </c>
      <c r="B34" t="s">
        <v>8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 x14ac:dyDescent="0.25">
      <c r="A35">
        <v>4</v>
      </c>
      <c r="B35" t="s">
        <v>8</v>
      </c>
      <c r="C35">
        <v>1</v>
      </c>
      <c r="D35">
        <v>1</v>
      </c>
      <c r="E35">
        <v>0</v>
      </c>
      <c r="F35">
        <v>0</v>
      </c>
      <c r="G35">
        <v>0</v>
      </c>
    </row>
    <row r="36" spans="1:7" x14ac:dyDescent="0.25">
      <c r="A36">
        <v>0</v>
      </c>
      <c r="B36" t="s">
        <v>8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5">
      <c r="A37">
        <v>0</v>
      </c>
      <c r="B37" t="s">
        <v>7</v>
      </c>
      <c r="C37">
        <v>1</v>
      </c>
      <c r="D37">
        <v>0</v>
      </c>
      <c r="E37">
        <v>0</v>
      </c>
      <c r="F37">
        <v>1</v>
      </c>
      <c r="G37">
        <v>0</v>
      </c>
    </row>
    <row r="38" spans="1:7" x14ac:dyDescent="0.25">
      <c r="A38">
        <v>0</v>
      </c>
      <c r="B38" t="s">
        <v>8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5">
      <c r="A39">
        <v>0</v>
      </c>
      <c r="B39" t="s">
        <v>7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 x14ac:dyDescent="0.25">
      <c r="A40">
        <v>0</v>
      </c>
      <c r="B40" t="s">
        <v>7</v>
      </c>
      <c r="C40">
        <v>1</v>
      </c>
      <c r="D40">
        <v>0</v>
      </c>
      <c r="E40">
        <v>0</v>
      </c>
      <c r="F40">
        <v>1</v>
      </c>
      <c r="G40">
        <v>0</v>
      </c>
    </row>
    <row r="41" spans="1:7" x14ac:dyDescent="0.25">
      <c r="A41">
        <v>0</v>
      </c>
      <c r="B41" t="s">
        <v>8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5">
      <c r="A42">
        <v>0</v>
      </c>
      <c r="B42" t="s">
        <v>8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5">
      <c r="A43">
        <v>4</v>
      </c>
      <c r="B43" t="s">
        <v>7</v>
      </c>
      <c r="C43">
        <v>0</v>
      </c>
      <c r="D43">
        <v>0</v>
      </c>
      <c r="E43">
        <v>1</v>
      </c>
      <c r="F43">
        <v>0</v>
      </c>
      <c r="G43">
        <v>0</v>
      </c>
    </row>
    <row r="44" spans="1:7" x14ac:dyDescent="0.25">
      <c r="A44">
        <v>0</v>
      </c>
      <c r="B44" t="s">
        <v>7</v>
      </c>
      <c r="C44">
        <v>1</v>
      </c>
      <c r="D44">
        <v>0</v>
      </c>
      <c r="E44">
        <v>0</v>
      </c>
      <c r="F44">
        <v>1</v>
      </c>
      <c r="G44">
        <v>0</v>
      </c>
    </row>
    <row r="45" spans="1:7" x14ac:dyDescent="0.25">
      <c r="A45">
        <v>0</v>
      </c>
      <c r="B45" t="s">
        <v>8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5">
      <c r="A46">
        <v>0</v>
      </c>
      <c r="B46" t="s">
        <v>8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>
        <v>0</v>
      </c>
      <c r="B47" t="s">
        <v>8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 x14ac:dyDescent="0.25">
      <c r="A48">
        <v>-3</v>
      </c>
      <c r="B48" t="s">
        <v>7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 x14ac:dyDescent="0.25">
      <c r="A49">
        <v>0</v>
      </c>
      <c r="B49" t="s">
        <v>8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25">
      <c r="A50">
        <v>4</v>
      </c>
      <c r="B50" t="s">
        <v>8</v>
      </c>
      <c r="C50">
        <v>1</v>
      </c>
      <c r="D50">
        <v>1</v>
      </c>
      <c r="E50">
        <v>0</v>
      </c>
      <c r="F50">
        <v>0</v>
      </c>
      <c r="G50">
        <v>0</v>
      </c>
    </row>
    <row r="51" spans="1:7" x14ac:dyDescent="0.25">
      <c r="A51">
        <v>0</v>
      </c>
      <c r="B51" t="s">
        <v>7</v>
      </c>
      <c r="C51">
        <v>1</v>
      </c>
      <c r="D51">
        <v>0</v>
      </c>
      <c r="E51">
        <v>0</v>
      </c>
      <c r="F51">
        <v>1</v>
      </c>
      <c r="G51">
        <v>0</v>
      </c>
    </row>
    <row r="52" spans="1:7" x14ac:dyDescent="0.25">
      <c r="A52">
        <v>0</v>
      </c>
      <c r="B52" t="s">
        <v>8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 x14ac:dyDescent="0.25">
      <c r="A53">
        <v>0</v>
      </c>
      <c r="B53" t="s">
        <v>7</v>
      </c>
      <c r="C53">
        <v>1</v>
      </c>
      <c r="D53">
        <v>0</v>
      </c>
      <c r="E53">
        <v>0</v>
      </c>
      <c r="F53">
        <v>1</v>
      </c>
      <c r="G53">
        <v>0</v>
      </c>
    </row>
    <row r="54" spans="1:7" x14ac:dyDescent="0.25">
      <c r="A54">
        <v>0</v>
      </c>
      <c r="B54" t="s">
        <v>8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>
        <v>0</v>
      </c>
      <c r="B55" t="s">
        <v>7</v>
      </c>
      <c r="C55">
        <v>1</v>
      </c>
      <c r="D55">
        <v>0</v>
      </c>
      <c r="E55">
        <v>0</v>
      </c>
      <c r="F55">
        <v>1</v>
      </c>
      <c r="G55">
        <v>0</v>
      </c>
    </row>
    <row r="56" spans="1:7" x14ac:dyDescent="0.25">
      <c r="A56">
        <v>-4</v>
      </c>
      <c r="B56" t="s">
        <v>7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 x14ac:dyDescent="0.25">
      <c r="A57">
        <v>-4</v>
      </c>
      <c r="B57" t="s">
        <v>8</v>
      </c>
      <c r="C57">
        <v>1</v>
      </c>
      <c r="D57">
        <v>1</v>
      </c>
      <c r="E57">
        <v>0</v>
      </c>
      <c r="F57">
        <v>0</v>
      </c>
      <c r="G57">
        <v>0</v>
      </c>
    </row>
    <row r="58" spans="1:7" x14ac:dyDescent="0.25">
      <c r="A58">
        <v>0</v>
      </c>
      <c r="B58" t="s">
        <v>7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 x14ac:dyDescent="0.25">
      <c r="A59">
        <v>0</v>
      </c>
      <c r="B59" t="s">
        <v>7</v>
      </c>
      <c r="C59">
        <v>1</v>
      </c>
      <c r="D59">
        <v>0</v>
      </c>
      <c r="E59">
        <v>0</v>
      </c>
      <c r="F59">
        <v>1</v>
      </c>
      <c r="G59">
        <v>0</v>
      </c>
    </row>
    <row r="60" spans="1:7" x14ac:dyDescent="0.25">
      <c r="A60">
        <v>0</v>
      </c>
      <c r="B60" t="s">
        <v>7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 x14ac:dyDescent="0.25">
      <c r="A61">
        <v>-2</v>
      </c>
      <c r="B61" t="s">
        <v>7</v>
      </c>
      <c r="C61">
        <v>0</v>
      </c>
      <c r="D61">
        <v>0</v>
      </c>
      <c r="E61">
        <v>1</v>
      </c>
      <c r="F61">
        <v>0</v>
      </c>
      <c r="G61">
        <v>0</v>
      </c>
    </row>
    <row r="62" spans="1:7" x14ac:dyDescent="0.25">
      <c r="A62">
        <v>0</v>
      </c>
      <c r="B62" t="s">
        <v>8</v>
      </c>
      <c r="C62">
        <v>0</v>
      </c>
      <c r="D62">
        <v>0</v>
      </c>
      <c r="E62">
        <v>0</v>
      </c>
      <c r="F62">
        <v>0</v>
      </c>
      <c r="G62">
        <v>1</v>
      </c>
    </row>
    <row r="63" spans="1:7" x14ac:dyDescent="0.25">
      <c r="A63">
        <v>2</v>
      </c>
      <c r="B63" t="s">
        <v>8</v>
      </c>
      <c r="C63">
        <v>1</v>
      </c>
      <c r="D63">
        <v>1</v>
      </c>
      <c r="E63">
        <v>0</v>
      </c>
      <c r="F63">
        <v>0</v>
      </c>
      <c r="G63">
        <v>0</v>
      </c>
    </row>
    <row r="64" spans="1:7" x14ac:dyDescent="0.25">
      <c r="A64">
        <v>0</v>
      </c>
      <c r="B64" t="s">
        <v>7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14" x14ac:dyDescent="0.25">
      <c r="A65">
        <v>-3</v>
      </c>
      <c r="B65" t="s">
        <v>8</v>
      </c>
      <c r="C65">
        <v>1</v>
      </c>
      <c r="D65">
        <v>1</v>
      </c>
      <c r="E65">
        <v>0</v>
      </c>
      <c r="F65">
        <v>0</v>
      </c>
      <c r="G65">
        <v>0</v>
      </c>
    </row>
    <row r="66" spans="1:14" x14ac:dyDescent="0.25">
      <c r="A66">
        <v>-5</v>
      </c>
      <c r="B66" t="s">
        <v>7</v>
      </c>
      <c r="C66">
        <v>0</v>
      </c>
      <c r="D66">
        <v>0</v>
      </c>
      <c r="E66">
        <v>1</v>
      </c>
      <c r="F66">
        <v>0</v>
      </c>
      <c r="G66">
        <v>0</v>
      </c>
    </row>
    <row r="67" spans="1:14" x14ac:dyDescent="0.25">
      <c r="A67">
        <v>0</v>
      </c>
      <c r="B67" t="s">
        <v>7</v>
      </c>
      <c r="C67">
        <v>1</v>
      </c>
      <c r="D67">
        <v>0</v>
      </c>
      <c r="E67">
        <v>0</v>
      </c>
      <c r="F67">
        <v>1</v>
      </c>
      <c r="G67">
        <v>0</v>
      </c>
    </row>
    <row r="68" spans="1:14" x14ac:dyDescent="0.25">
      <c r="A68">
        <v>0</v>
      </c>
      <c r="B68" t="s">
        <v>8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14" x14ac:dyDescent="0.25">
      <c r="A69">
        <v>0</v>
      </c>
      <c r="B69" t="s">
        <v>8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14" x14ac:dyDescent="0.25">
      <c r="A70">
        <v>0</v>
      </c>
      <c r="B70" t="s">
        <v>8</v>
      </c>
      <c r="C70">
        <v>0</v>
      </c>
      <c r="D70">
        <v>0</v>
      </c>
      <c r="E70">
        <v>0</v>
      </c>
      <c r="F70">
        <v>0</v>
      </c>
      <c r="G70">
        <v>1</v>
      </c>
    </row>
    <row r="71" spans="1:14" x14ac:dyDescent="0.25">
      <c r="A71">
        <v>0</v>
      </c>
      <c r="B71" t="s">
        <v>7</v>
      </c>
      <c r="C71">
        <v>1</v>
      </c>
      <c r="D71">
        <v>0</v>
      </c>
      <c r="E71">
        <v>0</v>
      </c>
      <c r="F71">
        <v>1</v>
      </c>
      <c r="G71">
        <v>0</v>
      </c>
    </row>
    <row r="72" spans="1:14" x14ac:dyDescent="0.25">
      <c r="A72">
        <v>-3</v>
      </c>
      <c r="B72" t="s">
        <v>7</v>
      </c>
      <c r="C72">
        <v>0</v>
      </c>
      <c r="D72">
        <v>0</v>
      </c>
      <c r="E72">
        <v>1</v>
      </c>
      <c r="F72">
        <v>0</v>
      </c>
      <c r="G72">
        <v>0</v>
      </c>
    </row>
    <row r="73" spans="1:14" x14ac:dyDescent="0.25">
      <c r="A73">
        <v>0</v>
      </c>
      <c r="B73" t="s">
        <v>8</v>
      </c>
      <c r="C73">
        <v>0</v>
      </c>
      <c r="D73">
        <v>0</v>
      </c>
      <c r="E73">
        <v>0</v>
      </c>
      <c r="F73">
        <v>0</v>
      </c>
      <c r="G73">
        <v>1</v>
      </c>
    </row>
    <row r="74" spans="1:14" x14ac:dyDescent="0.25">
      <c r="A74">
        <v>0</v>
      </c>
      <c r="B74" t="s">
        <v>7</v>
      </c>
      <c r="C74">
        <v>1</v>
      </c>
      <c r="D74">
        <v>0</v>
      </c>
      <c r="E74">
        <v>0</v>
      </c>
      <c r="F74">
        <v>1</v>
      </c>
      <c r="G74">
        <v>0</v>
      </c>
    </row>
    <row r="75" spans="1:14" x14ac:dyDescent="0.25">
      <c r="A75">
        <v>2</v>
      </c>
      <c r="B75" t="s">
        <v>8</v>
      </c>
      <c r="C75">
        <v>1</v>
      </c>
      <c r="D75">
        <v>1</v>
      </c>
      <c r="E75">
        <v>0</v>
      </c>
      <c r="F75">
        <v>0</v>
      </c>
      <c r="G75">
        <v>0</v>
      </c>
    </row>
    <row r="76" spans="1:14" x14ac:dyDescent="0.25">
      <c r="A76">
        <v>-4</v>
      </c>
      <c r="B76" t="s">
        <v>8</v>
      </c>
      <c r="C76">
        <v>1</v>
      </c>
      <c r="D76">
        <v>1</v>
      </c>
      <c r="E76">
        <v>0</v>
      </c>
      <c r="F76">
        <v>0</v>
      </c>
      <c r="G76">
        <v>0</v>
      </c>
    </row>
    <row r="77" spans="1:14" x14ac:dyDescent="0.25">
      <c r="A77">
        <v>0</v>
      </c>
      <c r="B77" t="s">
        <v>7</v>
      </c>
      <c r="C77">
        <v>1</v>
      </c>
      <c r="D77">
        <v>0</v>
      </c>
      <c r="E77">
        <v>0</v>
      </c>
      <c r="F77">
        <v>1</v>
      </c>
      <c r="G77">
        <v>0</v>
      </c>
    </row>
    <row r="78" spans="1:14" x14ac:dyDescent="0.25">
      <c r="A78">
        <v>2</v>
      </c>
      <c r="B78" t="s">
        <v>8</v>
      </c>
      <c r="C78">
        <v>1</v>
      </c>
      <c r="D78">
        <v>1</v>
      </c>
      <c r="E78">
        <v>0</v>
      </c>
      <c r="F78">
        <v>0</v>
      </c>
      <c r="G78">
        <v>0</v>
      </c>
      <c r="J78" t="s">
        <v>9</v>
      </c>
      <c r="K78" t="s">
        <v>10</v>
      </c>
      <c r="M78" t="s">
        <v>3</v>
      </c>
      <c r="N78">
        <v>25</v>
      </c>
    </row>
    <row r="79" spans="1:14" x14ac:dyDescent="0.25">
      <c r="A79">
        <v>0</v>
      </c>
      <c r="B79" t="s">
        <v>8</v>
      </c>
      <c r="C79">
        <v>0</v>
      </c>
      <c r="D79">
        <v>0</v>
      </c>
      <c r="E79">
        <v>0</v>
      </c>
      <c r="F79">
        <v>0</v>
      </c>
      <c r="G79">
        <v>1</v>
      </c>
      <c r="I79" t="s">
        <v>12</v>
      </c>
      <c r="J79">
        <f>D102</f>
        <v>25</v>
      </c>
      <c r="K79">
        <f>F102</f>
        <v>29</v>
      </c>
      <c r="M79" t="s">
        <v>17</v>
      </c>
      <c r="N79">
        <v>29</v>
      </c>
    </row>
    <row r="80" spans="1:14" x14ac:dyDescent="0.25">
      <c r="A80">
        <v>2</v>
      </c>
      <c r="B80" t="s">
        <v>7</v>
      </c>
      <c r="C80">
        <v>0</v>
      </c>
      <c r="D80">
        <v>0</v>
      </c>
      <c r="E80">
        <v>1</v>
      </c>
      <c r="F80">
        <v>0</v>
      </c>
      <c r="G80">
        <v>0</v>
      </c>
      <c r="I80" t="s">
        <v>11</v>
      </c>
      <c r="J80">
        <f>E102</f>
        <v>17</v>
      </c>
      <c r="K80">
        <f>G102</f>
        <v>29</v>
      </c>
      <c r="M80" t="s">
        <v>18</v>
      </c>
      <c r="N80">
        <v>17</v>
      </c>
    </row>
    <row r="81" spans="1:14" x14ac:dyDescent="0.25">
      <c r="A81">
        <v>0</v>
      </c>
      <c r="B81" t="s">
        <v>7</v>
      </c>
      <c r="C81">
        <v>1</v>
      </c>
      <c r="D81">
        <v>0</v>
      </c>
      <c r="E81">
        <v>0</v>
      </c>
      <c r="F81">
        <v>1</v>
      </c>
      <c r="G81">
        <v>0</v>
      </c>
      <c r="M81" t="s">
        <v>19</v>
      </c>
      <c r="N81">
        <v>29</v>
      </c>
    </row>
    <row r="82" spans="1:14" x14ac:dyDescent="0.25">
      <c r="A82">
        <v>1</v>
      </c>
      <c r="B82" t="s">
        <v>8</v>
      </c>
      <c r="C82">
        <v>1</v>
      </c>
      <c r="D82">
        <v>1</v>
      </c>
      <c r="E82">
        <v>0</v>
      </c>
      <c r="F82">
        <v>0</v>
      </c>
      <c r="G82">
        <v>0</v>
      </c>
      <c r="J82" t="s">
        <v>13</v>
      </c>
      <c r="K82">
        <f>J79/(J79+J80)</f>
        <v>0.59523809523809523</v>
      </c>
    </row>
    <row r="83" spans="1:14" x14ac:dyDescent="0.25">
      <c r="A83">
        <v>0</v>
      </c>
      <c r="B83" t="s">
        <v>7</v>
      </c>
      <c r="C83">
        <v>1</v>
      </c>
      <c r="D83">
        <v>0</v>
      </c>
      <c r="E83">
        <v>0</v>
      </c>
      <c r="F83">
        <v>1</v>
      </c>
      <c r="G83">
        <v>0</v>
      </c>
      <c r="J83" t="s">
        <v>14</v>
      </c>
      <c r="K83">
        <f>K79/(K79+K80)</f>
        <v>0.5</v>
      </c>
    </row>
    <row r="84" spans="1:14" x14ac:dyDescent="0.25">
      <c r="A84">
        <v>0</v>
      </c>
      <c r="B84" t="s">
        <v>7</v>
      </c>
      <c r="C84">
        <v>1</v>
      </c>
      <c r="D84">
        <v>0</v>
      </c>
      <c r="E84">
        <v>0</v>
      </c>
      <c r="F84">
        <v>1</v>
      </c>
      <c r="G84">
        <v>0</v>
      </c>
    </row>
    <row r="85" spans="1:14" x14ac:dyDescent="0.25">
      <c r="A85">
        <v>1</v>
      </c>
      <c r="B85" t="s">
        <v>7</v>
      </c>
      <c r="C85">
        <v>0</v>
      </c>
      <c r="D85">
        <v>0</v>
      </c>
      <c r="E85">
        <v>1</v>
      </c>
      <c r="F85">
        <v>0</v>
      </c>
      <c r="G85">
        <v>0</v>
      </c>
      <c r="J85" t="s">
        <v>15</v>
      </c>
      <c r="K85">
        <f>_xlfn.NORM.S.INV(K82)-_xlfn.NORM.S.INV(K83)</f>
        <v>0.24104039388602685</v>
      </c>
    </row>
    <row r="86" spans="1:14" x14ac:dyDescent="0.25">
      <c r="A86">
        <v>3</v>
      </c>
      <c r="B86" t="s">
        <v>8</v>
      </c>
      <c r="C86">
        <v>1</v>
      </c>
      <c r="D86">
        <v>1</v>
      </c>
      <c r="E86">
        <v>0</v>
      </c>
      <c r="F86">
        <v>0</v>
      </c>
      <c r="G86">
        <v>0</v>
      </c>
      <c r="J86" t="s">
        <v>16</v>
      </c>
      <c r="K86">
        <f>- ( ( _xlfn.NORM.S.INV(K82) + _xlfn.NORM.S.INV(K83) ) / 2 )</f>
        <v>-0.12052019694301343</v>
      </c>
    </row>
    <row r="87" spans="1:14" x14ac:dyDescent="0.25">
      <c r="A87">
        <v>-5</v>
      </c>
      <c r="B87" t="s">
        <v>8</v>
      </c>
      <c r="C87">
        <v>1</v>
      </c>
      <c r="D87">
        <v>1</v>
      </c>
      <c r="E87">
        <v>0</v>
      </c>
      <c r="F87">
        <v>0</v>
      </c>
      <c r="G87">
        <v>0</v>
      </c>
    </row>
    <row r="88" spans="1:14" x14ac:dyDescent="0.25">
      <c r="A88">
        <v>-2</v>
      </c>
      <c r="B88" t="s">
        <v>8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14" x14ac:dyDescent="0.25">
      <c r="A89">
        <v>0</v>
      </c>
      <c r="B89" t="s">
        <v>8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14" x14ac:dyDescent="0.25">
      <c r="A90">
        <v>0</v>
      </c>
      <c r="B90" t="s">
        <v>7</v>
      </c>
      <c r="C90">
        <v>1</v>
      </c>
      <c r="D90">
        <v>0</v>
      </c>
      <c r="E90">
        <v>0</v>
      </c>
      <c r="F90">
        <v>1</v>
      </c>
      <c r="G90">
        <v>0</v>
      </c>
    </row>
    <row r="91" spans="1:14" x14ac:dyDescent="0.25">
      <c r="A91">
        <v>0</v>
      </c>
      <c r="B91" t="s">
        <v>7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14" x14ac:dyDescent="0.25">
      <c r="A92">
        <v>0</v>
      </c>
      <c r="B92" t="s">
        <v>8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14" x14ac:dyDescent="0.25">
      <c r="A93">
        <v>0</v>
      </c>
      <c r="B93" t="s">
        <v>7</v>
      </c>
      <c r="C93">
        <v>1</v>
      </c>
      <c r="D93">
        <v>0</v>
      </c>
      <c r="E93">
        <v>0</v>
      </c>
      <c r="F93">
        <v>1</v>
      </c>
      <c r="G93">
        <v>0</v>
      </c>
    </row>
    <row r="94" spans="1:14" x14ac:dyDescent="0.25">
      <c r="A94">
        <v>0</v>
      </c>
      <c r="B94" t="s">
        <v>7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14" x14ac:dyDescent="0.25">
      <c r="A95">
        <v>0</v>
      </c>
      <c r="B95" t="s">
        <v>8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14" x14ac:dyDescent="0.25">
      <c r="A96">
        <v>0</v>
      </c>
      <c r="B96" t="s">
        <v>8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5">
      <c r="A97">
        <v>0</v>
      </c>
      <c r="B97" t="s">
        <v>8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5">
      <c r="A98">
        <v>0</v>
      </c>
      <c r="B98" t="s">
        <v>7</v>
      </c>
      <c r="C98">
        <v>1</v>
      </c>
      <c r="D98">
        <v>0</v>
      </c>
      <c r="E98">
        <v>0</v>
      </c>
      <c r="F98">
        <v>1</v>
      </c>
      <c r="G98">
        <v>0</v>
      </c>
    </row>
    <row r="99" spans="1:7" x14ac:dyDescent="0.25">
      <c r="A99">
        <v>0</v>
      </c>
      <c r="B99" t="s">
        <v>7</v>
      </c>
      <c r="C99">
        <v>1</v>
      </c>
      <c r="D99">
        <v>0</v>
      </c>
      <c r="E99">
        <v>0</v>
      </c>
      <c r="F99">
        <v>1</v>
      </c>
      <c r="G99">
        <v>0</v>
      </c>
    </row>
    <row r="100" spans="1:7" x14ac:dyDescent="0.25">
      <c r="A100">
        <v>1</v>
      </c>
      <c r="B100" t="s">
        <v>8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 x14ac:dyDescent="0.25">
      <c r="A101">
        <v>-4</v>
      </c>
      <c r="B101" t="s">
        <v>7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 x14ac:dyDescent="0.25">
      <c r="D102">
        <f>SUM(D2:D101)</f>
        <v>25</v>
      </c>
      <c r="E102">
        <f>SUM(E2:E101)</f>
        <v>17</v>
      </c>
      <c r="F102">
        <f>SUM(F2:F101)</f>
        <v>29</v>
      </c>
      <c r="G102">
        <f>SUM(G2:G101)</f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Siya Jain</cp:lastModifiedBy>
  <dcterms:created xsi:type="dcterms:W3CDTF">2025-09-05T16:52:21Z</dcterms:created>
  <dcterms:modified xsi:type="dcterms:W3CDTF">2025-09-09T10:34:37Z</dcterms:modified>
</cp:coreProperties>
</file>