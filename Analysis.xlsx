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troop_task_practice\"/>
    </mc:Choice>
  </mc:AlternateContent>
  <xr:revisionPtr revIDLastSave="0" documentId="13_ncr:1_{0357EFDC-7564-4FB8-8881-15AA1270AD90}" xr6:coauthVersionLast="47" xr6:coauthVersionMax="47" xr10:uidLastSave="{00000000-0000-0000-0000-000000000000}"/>
  <bookViews>
    <workbookView xWindow="-120" yWindow="-120" windowWidth="20730" windowHeight="11040" xr2:uid="{F3A9411B-E309-4DBF-8461-79A33D918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C5" i="1"/>
  <c r="C4" i="1"/>
  <c r="C3" i="1"/>
  <c r="C2" i="1"/>
  <c r="C7" i="1" s="1"/>
  <c r="C8" i="1" s="1"/>
  <c r="B5" i="1"/>
  <c r="B4" i="1"/>
  <c r="B3" i="1"/>
  <c r="B7" i="1"/>
  <c r="B8" i="1" s="1"/>
  <c r="B2" i="1"/>
  <c r="C6" i="1"/>
  <c r="B6" i="1" l="1"/>
</calcChain>
</file>

<file path=xl/sharedStrings.xml><?xml version="1.0" encoding="utf-8"?>
<sst xmlns="http://schemas.openxmlformats.org/spreadsheetml/2006/main" count="10" uniqueCount="10">
  <si>
    <t>Participants</t>
  </si>
  <si>
    <t>Congruent</t>
  </si>
  <si>
    <t>Incongruent</t>
  </si>
  <si>
    <t>Vishva</t>
  </si>
  <si>
    <t xml:space="preserve">Surili </t>
  </si>
  <si>
    <t>Priyanshi</t>
  </si>
  <si>
    <t>Mamta</t>
  </si>
  <si>
    <t>Average</t>
  </si>
  <si>
    <t>sd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</si>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</sst>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STROOP TASK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Congruent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Sheet1!$B$8</c:f>
                <c:numCache>
                  <c:formatCode>General</c:formatCode>
                  <c:ptCount val="1"/>
                  <c:pt idx="0">
                    <c:v>55.359366167042204</c:v>
                  </c:pt>
                </c:numCache>
              </c:numRef>
            </c:plus>
            <c:minus>
              <c:numRef>
                <c:f>Sheet1!$B$8</c:f>
                <c:numCache>
                  <c:formatCode>General</c:formatCode>
                  <c:ptCount val="1"/>
                  <c:pt idx="0">
                    <c:v>55.359366167042204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Sheet1!$A$2:$A$5</c:f>
              <c:strCache>
                <c:ptCount val="4"/>
                <c:pt idx="0">
                  <c:v>Vishva</c:v>
                </c:pt>
                <c:pt idx="1">
                  <c:v>Surili </c:v>
                </c:pt>
                <c:pt idx="2">
                  <c:v>Priyanshi</c:v>
                </c:pt>
                <c:pt idx="3">
                  <c:v>Mamta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342.25400000000002</c:v>
                </c:pt>
                <c:pt idx="1">
                  <c:v>533.80399999999997</c:v>
                </c:pt>
                <c:pt idx="2">
                  <c:v>297.38100000000003</c:v>
                </c:pt>
                <c:pt idx="3">
                  <c:v>474.75099999999998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C-4487-8345-7CF3C8BC64D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Incongruent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Sheet1!$C$8</c:f>
                <c:numCache>
                  <c:formatCode>General</c:formatCode>
                  <c:ptCount val="1"/>
                  <c:pt idx="0">
                    <c:v>59.230952976463307</c:v>
                  </c:pt>
                </c:numCache>
              </c:numRef>
            </c:plus>
            <c:minus>
              <c:numRef>
                <c:f>Sheet1!$C$8</c:f>
                <c:numCache>
                  <c:formatCode>General</c:formatCode>
                  <c:ptCount val="1"/>
                  <c:pt idx="0">
                    <c:v>59.230952976463307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Sheet1!$A$2:$A$5</c:f>
              <c:strCache>
                <c:ptCount val="4"/>
                <c:pt idx="0">
                  <c:v>Vishva</c:v>
                </c:pt>
                <c:pt idx="1">
                  <c:v>Surili </c:v>
                </c:pt>
                <c:pt idx="2">
                  <c:v>Priyanshi</c:v>
                </c:pt>
                <c:pt idx="3">
                  <c:v>Mamta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358.86600000000004</c:v>
                </c:pt>
                <c:pt idx="1">
                  <c:v>565.13699999999994</c:v>
                </c:pt>
                <c:pt idx="2">
                  <c:v>291.33100000000002</c:v>
                </c:pt>
                <c:pt idx="3">
                  <c:v>448.42199999999997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C-4487-8345-7CF3C8BC6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193247"/>
        <c:axId val="108201791"/>
      </c:barChart>
      <c:catAx>
        <c:axId val="182119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CONGRUENCY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1791"/>
        <c:crosses val="autoZero"/>
        <c:auto val="1"/>
        <c:lblAlgn val="ctr"/>
        <c:lblOffset val="100"/>
        <c:noMultiLvlLbl val="0"/>
      </c:catAx>
      <c:valAx>
        <c:axId val="1082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19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2</xdr:row>
      <xdr:rowOff>180975</xdr:rowOff>
    </xdr:from>
    <xdr:to>
      <xdr:col>11</xdr:col>
      <xdr:colOff>219075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3153E-A25B-CA9F-D336-1853EC69C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8DF0-C20B-4247-BC4E-E771C8D1584A}">
  <dimension ref="A1:C11"/>
  <sheetViews>
    <sheetView tabSelected="1" workbookViewId="0">
      <selection activeCell="K27" sqref="K2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f>0.342254*1000</f>
        <v>342.25400000000002</v>
      </c>
      <c r="C2">
        <f>0.358866*1000</f>
        <v>358.86600000000004</v>
      </c>
    </row>
    <row r="3" spans="1:3" x14ac:dyDescent="0.25">
      <c r="A3" t="s">
        <v>4</v>
      </c>
      <c r="B3">
        <f>0.533804*1000</f>
        <v>533.80399999999997</v>
      </c>
      <c r="C3">
        <f>0.565137*1000</f>
        <v>565.13699999999994</v>
      </c>
    </row>
    <row r="4" spans="1:3" x14ac:dyDescent="0.25">
      <c r="A4" t="s">
        <v>5</v>
      </c>
      <c r="B4">
        <f>0.297381*1000</f>
        <v>297.38100000000003</v>
      </c>
      <c r="C4">
        <f>0.291331*1000</f>
        <v>291.33100000000002</v>
      </c>
    </row>
    <row r="5" spans="1:3" x14ac:dyDescent="0.25">
      <c r="A5" t="s">
        <v>6</v>
      </c>
      <c r="B5">
        <f>0.474751*1000</f>
        <v>474.75099999999998</v>
      </c>
      <c r="C5">
        <f>0.448422*1000</f>
        <v>448.42199999999997</v>
      </c>
    </row>
    <row r="6" spans="1:3" x14ac:dyDescent="0.25">
      <c r="A6" t="s">
        <v>7</v>
      </c>
      <c r="B6">
        <f>AVERAGE(B2:B5)</f>
        <v>412.04750000000001</v>
      </c>
      <c r="C6">
        <f>AVERAGE(C2:C5)</f>
        <v>415.93899999999996</v>
      </c>
    </row>
    <row r="7" spans="1:3" x14ac:dyDescent="0.25">
      <c r="A7" t="s">
        <v>8</v>
      </c>
      <c r="B7">
        <f>STDEV(B2:B5)</f>
        <v>110.71873233408441</v>
      </c>
      <c r="C7">
        <f>STDEV(C2:C5)</f>
        <v>118.46190595292661</v>
      </c>
    </row>
    <row r="8" spans="1:3" x14ac:dyDescent="0.25">
      <c r="A8" t="s">
        <v>9</v>
      </c>
      <c r="B8">
        <f>B7/SQRT(4)</f>
        <v>55.359366167042204</v>
      </c>
      <c r="C8">
        <f>C7/SQRT(4)</f>
        <v>59.230952976463307</v>
      </c>
    </row>
    <row r="11" spans="1:3" x14ac:dyDescent="0.25">
      <c r="B11">
        <f>_xlfn.T.TEST(B2:B5,C2:C5,2,1)</f>
        <v>0.77885458457675627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 Jain</dc:creator>
  <cp:lastModifiedBy>Siya Jain</cp:lastModifiedBy>
  <dcterms:created xsi:type="dcterms:W3CDTF">2025-08-22T05:00:49Z</dcterms:created>
  <dcterms:modified xsi:type="dcterms:W3CDTF">2025-08-22T15:56:18Z</dcterms:modified>
</cp:coreProperties>
</file>